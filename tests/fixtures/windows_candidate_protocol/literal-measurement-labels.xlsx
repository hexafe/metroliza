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-1" sheetId="1" r:id="rId1"/>
    <sheet name="MEASUREMENTS" sheetId="2" r:id="rId2"/>
  </sheets>
  <definedNames>
    <definedName name="_xlnm._FilterDatabase" localSheetId="1" hidden="1">MEASUREMENTS!$A$1:$AL$5</definedName>
  </definedNames>
  <calcPr calcId="124519" fullCalcOnLoad="1"/>
</workbook>
</file>

<file path=xl/sharedStrings.xml><?xml version="1.0" encoding="utf-8"?>
<sst xmlns="http://schemas.openxmlformats.org/spreadsheetml/2006/main" count="172" uniqueCount="82">
  <si>
    <t>NOM</t>
  </si>
  <si>
    <t>+TOL</t>
  </si>
  <si>
    <t>-TOL</t>
  </si>
  <si>
    <t>USL</t>
  </si>
  <si>
    <t>LSL</t>
  </si>
  <si>
    <t>NOK number</t>
  </si>
  <si>
    <t>NOK %</t>
  </si>
  <si>
    <t>MIN</t>
  </si>
  <si>
    <t>AVG</t>
  </si>
  <si>
    <t>MAX</t>
  </si>
  <si>
    <t>STD</t>
  </si>
  <si>
    <t>Cp</t>
  </si>
  <si>
    <t>Cpk</t>
  </si>
  <si>
    <t>Sample size</t>
  </si>
  <si>
    <t>Date</t>
  </si>
  <si>
    <t>2024-01-01</t>
  </si>
  <si>
    <t>2024-01-02</t>
  </si>
  <si>
    <t>Sample #</t>
  </si>
  <si>
    <t>1</t>
  </si>
  <si>
    <t>2</t>
  </si>
  <si>
    <t>=Data!A1 - X</t>
  </si>
  <si>
    <t>2024-01-03</t>
  </si>
  <si>
    <t>2024-01-04</t>
  </si>
  <si>
    <t>Żółć "quotes" - X</t>
  </si>
  <si>
    <t>REPORT_ID</t>
  </si>
  <si>
    <t>MEASUREMENT_ID</t>
  </si>
  <si>
    <t>REFERENCE</t>
  </si>
  <si>
    <t>DATE</t>
  </si>
  <si>
    <t>TIME</t>
  </si>
  <si>
    <t>PART_NAME</t>
  </si>
  <si>
    <t>REVISION</t>
  </si>
  <si>
    <t>SAMPLE_NUMBER</t>
  </si>
  <si>
    <t>SAMPLE_NUMBER_KIND</t>
  </si>
  <si>
    <t>STATS_COUNT_RAW</t>
  </si>
  <si>
    <t>STATS_COUNT_INT</t>
  </si>
  <si>
    <t>OPERATOR_NAME</t>
  </si>
  <si>
    <t>FILELOC</t>
  </si>
  <si>
    <t>FILENAME</t>
  </si>
  <si>
    <t>ABSOLUTE_PATH</t>
  </si>
  <si>
    <t>PARSER_ID</t>
  </si>
  <si>
    <t>TEMPLATE_FAMILY</t>
  </si>
  <si>
    <t>TEMPLATE_VARIANT</t>
  </si>
  <si>
    <t>HEADER</t>
  </si>
  <si>
    <t>SECTION_NAME</t>
  </si>
  <si>
    <t>FEATURE_LABEL</t>
  </si>
  <si>
    <t>CHARACTERISTIC_NAME</t>
  </si>
  <si>
    <t>CHARACTERISTIC_FAMILY</t>
  </si>
  <si>
    <t>DESCRIPTION</t>
  </si>
  <si>
    <t>AX</t>
  </si>
  <si>
    <t>BONUS</t>
  </si>
  <si>
    <t>MEAS</t>
  </si>
  <si>
    <t>DEV</t>
  </si>
  <si>
    <t>OUTTOL</t>
  </si>
  <si>
    <t>IS_NOK</t>
  </si>
  <si>
    <t>STATUS_CODE</t>
  </si>
  <si>
    <t>PAGE_NUMBER</t>
  </si>
  <si>
    <t>ROW_ORDER</t>
  </si>
  <si>
    <t>HAS_NOK</t>
  </si>
  <si>
    <t>NOK_COUNT</t>
  </si>
  <si>
    <t>REF-1</t>
  </si>
  <si>
    <t>Part</t>
  </si>
  <si>
    <t>A</t>
  </si>
  <si>
    <t>explicit_sample_number</t>
  </si>
  <si>
    <t>Operator</t>
  </si>
  <si>
    <t>/home/hexaf-p15/Projects/metroliza/delivery-1047-session1/runtime/tmp/tmpkbfuqn_1/reports</t>
  </si>
  <si>
    <t>part_1.pdf</t>
  </si>
  <si>
    <t>/home/hexaf-p15/Projects/metroliza/delivery-1047-session1/runtime/tmp/tmpkbfuqn_1/reports/part_1.pdf</t>
  </si>
  <si>
    <t>cmm</t>
  </si>
  <si>
    <t>cmm_pdf_header_box</t>
  </si>
  <si>
    <t>cmm_pdf_header_box_serial_variant</t>
  </si>
  <si>
    <t>=Data!A1</t>
  </si>
  <si>
    <t>LOC</t>
  </si>
  <si>
    <t>Feature LOC</t>
  </si>
  <si>
    <t>X</t>
  </si>
  <si>
    <t>ok</t>
  </si>
  <si>
    <t>part_2.pdf</t>
  </si>
  <si>
    <t>/home/hexaf-p15/Projects/metroliza/delivery-1047-session1/runtime/tmp/tmpkbfuqn_1/reports/part_2.pdf</t>
  </si>
  <si>
    <t>part_3.pdf</t>
  </si>
  <si>
    <t>/home/hexaf-p15/Projects/metroliza/delivery-1047-session1/runtime/tmp/tmpkbfuqn_1/reports/part_3.pdf</t>
  </si>
  <si>
    <t>Żółć "quotes"</t>
  </si>
  <si>
    <t>part_4.pdf</t>
  </si>
  <si>
    <t>/home/hexaf-p15/Projects/metroliza/delivery-1047-session1/runtime/tmp/tmpkbfuqn_1/reports/part_4.pdf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</si>
</sst>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FFFFFF"/>
      </font>
      <fill>
        <patternFill>
          <bgColor rgb="FFFF0000"/>
        </patternFill>
      </fill>
      <border>
        <left/>
        <right style="thin">
          <color auto="1"/>
        </right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'REF-1'!$C$21</c:f>
          <c:strCache>
            <c:ptCount val="1"/>
            <c:pt idx="0">
              <c:v>=Data!A1 - X</c:v>
            </c:pt>
          </c:strCache>
        </c:strRef>
      </c:tx>
      <c:layout/>
      <c:txPr>
        <a:bodyPr/>
        <a:lstStyle/>
        <a:p>
          <a:pPr>
            <a:defRPr sz="1000" baseline="0"/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'REF-1'!$C$21</c:f>
              <c:strCache>
                <c:ptCount val="1"/>
                <c:pt idx="0">
                  <c:v>=Data!A1 - X</c:v>
                </c:pt>
              </c:strCache>
            </c:strRef>
          </c:tx>
          <c:marker>
            <c:symbol val="none"/>
          </c:marker>
          <c:cat>
            <c:numRef>
              <c:f>'REF-1'!$B22:B23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'REF-1'!$C22:C23</c:f>
              <c:numCache>
                <c:formatCode>General</c:formatCode>
                <c:ptCount val="2"/>
                <c:pt idx="0">
                  <c:v>10.1</c:v>
                </c:pt>
                <c:pt idx="1">
                  <c:v>10.2</c:v>
                </c:pt>
              </c:numCache>
            </c:numRef>
          </c:val>
        </c:ser>
        <c:ser>
          <c:idx val="1"/>
          <c:order val="1"/>
          <c:tx>
            <c:v>USL</c:v>
          </c:tx>
          <c:spPr>
            <a:ln w="25400">
              <a:solidFill>
                <a:srgbClr val="C0504B">
                  <a:alpha val="60000"/>
                </a:srgbClr>
              </a:solidFill>
            </a:ln>
          </c:spPr>
          <c:marker>
            <c:symbol val="none"/>
          </c:marker>
          <c:dLbls/>
          <c:cat>
            <c:numRef>
              <c:f>'REF-1'!$B22:B23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'REF-1'!$D22:D23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val>
        </c:ser>
        <c:ser>
          <c:idx val="2"/>
          <c:order val="2"/>
          <c:tx>
            <c:v>LSL</c:v>
          </c:tx>
          <c:spPr>
            <a:ln w="25400">
              <a:solidFill>
                <a:srgbClr val="C0504B">
                  <a:alpha val="60000"/>
                </a:srgbClr>
              </a:solidFill>
            </a:ln>
          </c:spPr>
          <c:marker>
            <c:symbol val="none"/>
          </c:marker>
          <c:dLbls/>
          <c:cat>
            <c:numRef>
              <c:f>'REF-1'!$B22:B23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'REF-1'!$E22:E23</c:f>
              <c:numCache>
                <c:formatCode>General</c:formatCode>
                <c:ptCount val="2"/>
                <c:pt idx="0">
                  <c:v>9.5</c:v>
                </c:pt>
                <c:pt idx="1">
                  <c:v>9.5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'REF-1'!$H$21</c:f>
          <c:strCache>
            <c:ptCount val="1"/>
            <c:pt idx="0">
              <c:v>Żółć "quotes" - X</c:v>
            </c:pt>
          </c:strCache>
        </c:strRef>
      </c:tx>
      <c:layout/>
      <c:txPr>
        <a:bodyPr/>
        <a:lstStyle/>
        <a:p>
          <a:pPr>
            <a:defRPr sz="1000" baseline="0"/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'REF-1'!$H$21</c:f>
              <c:strCache>
                <c:ptCount val="1"/>
                <c:pt idx="0">
                  <c:v>Żółć "quotes" - X</c:v>
                </c:pt>
              </c:strCache>
            </c:strRef>
          </c:tx>
          <c:marker>
            <c:symbol val="none"/>
          </c:marker>
          <c:cat>
            <c:numRef>
              <c:f>'REF-1'!$G22:G23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'REF-1'!$H22:H23</c:f>
              <c:numCache>
                <c:formatCode>General</c:formatCode>
                <c:ptCount val="2"/>
                <c:pt idx="0">
                  <c:v>10.1</c:v>
                </c:pt>
                <c:pt idx="1">
                  <c:v>10.2</c:v>
                </c:pt>
              </c:numCache>
            </c:numRef>
          </c:val>
        </c:ser>
        <c:ser>
          <c:idx val="1"/>
          <c:order val="1"/>
          <c:tx>
            <c:v>USL</c:v>
          </c:tx>
          <c:spPr>
            <a:ln w="25400">
              <a:solidFill>
                <a:srgbClr val="C0504B">
                  <a:alpha val="60000"/>
                </a:srgbClr>
              </a:solidFill>
            </a:ln>
          </c:spPr>
          <c:marker>
            <c:symbol val="none"/>
          </c:marker>
          <c:dLbls/>
          <c:cat>
            <c:numRef>
              <c:f>'REF-1'!$G22:G23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'REF-1'!$I22:I23</c:f>
              <c:numCache>
                <c:formatCode>General</c:formatCode>
                <c:ptCount val="2"/>
                <c:pt idx="0">
                  <c:v>10.5</c:v>
                </c:pt>
                <c:pt idx="1">
                  <c:v>10.5</c:v>
                </c:pt>
              </c:numCache>
            </c:numRef>
          </c:val>
        </c:ser>
        <c:ser>
          <c:idx val="2"/>
          <c:order val="2"/>
          <c:tx>
            <c:v>LSL</c:v>
          </c:tx>
          <c:spPr>
            <a:ln w="25400">
              <a:solidFill>
                <a:srgbClr val="C0504B">
                  <a:alpha val="60000"/>
                </a:srgbClr>
              </a:solidFill>
            </a:ln>
          </c:spPr>
          <c:marker>
            <c:symbol val="none"/>
          </c:marker>
          <c:dLbls/>
          <c:cat>
            <c:numRef>
              <c:f>'REF-1'!$G22:G23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'REF-1'!$J22:J23</c:f>
              <c:numCache>
                <c:formatCode>General</c:formatCode>
                <c:ptCount val="2"/>
                <c:pt idx="0">
                  <c:v>9.5</c:v>
                </c:pt>
                <c:pt idx="1">
                  <c:v>9.5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600075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9</xdr:col>
      <xdr:colOff>600075</xdr:colOff>
      <xdr:row>19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4" width="12.7109375" style="1" customWidth="1"/>
    <col min="5" max="5" width="9.140625" style="2"/>
    <col min="6" max="9" width="12.7109375" style="1" customWidth="1"/>
    <col min="10" max="10" width="9.140625" style="2"/>
  </cols>
  <sheetData>
    <row r="1" spans="1:9">
      <c r="A1" s="1" t="s">
        <v>0</v>
      </c>
      <c r="B1" s="1">
        <v>10</v>
      </c>
      <c r="C1" s="1" t="s">
        <v>7</v>
      </c>
      <c r="D1" s="1">
        <f>ROUND(MIN(C22:C23), 3)</f>
        <v>0</v>
      </c>
      <c r="F1" s="1" t="s">
        <v>0</v>
      </c>
      <c r="G1" s="1">
        <v>10</v>
      </c>
      <c r="H1" s="1" t="s">
        <v>7</v>
      </c>
      <c r="I1" s="1">
        <f>ROUND(MIN(H22:H23), 3)</f>
        <v>0</v>
      </c>
    </row>
    <row r="2" spans="1:9">
      <c r="A2" s="1" t="s">
        <v>1</v>
      </c>
      <c r="B2" s="1">
        <v>0.5</v>
      </c>
      <c r="C2" s="1" t="s">
        <v>8</v>
      </c>
      <c r="D2" s="1">
        <f>ROUND(AVERAGE(C22:C23), 3)</f>
        <v>0</v>
      </c>
      <c r="F2" s="1" t="s">
        <v>1</v>
      </c>
      <c r="G2" s="1">
        <v>0.5</v>
      </c>
      <c r="H2" s="1" t="s">
        <v>8</v>
      </c>
      <c r="I2" s="1">
        <f>ROUND(AVERAGE(H22:H23), 3)</f>
        <v>0</v>
      </c>
    </row>
    <row r="3" spans="1:9">
      <c r="A3" s="1" t="s">
        <v>2</v>
      </c>
      <c r="B3" s="1">
        <v>-0.5</v>
      </c>
      <c r="C3" s="1" t="s">
        <v>9</v>
      </c>
      <c r="D3" s="1">
        <f>ROUND(MAX(C22:C23), 3)</f>
        <v>0</v>
      </c>
      <c r="F3" s="1" t="s">
        <v>2</v>
      </c>
      <c r="G3" s="1">
        <v>-0.5</v>
      </c>
      <c r="H3" s="1" t="s">
        <v>9</v>
      </c>
      <c r="I3" s="1">
        <f>ROUND(MAX(H22:H23), 3)</f>
        <v>0</v>
      </c>
    </row>
    <row r="4" spans="1:9">
      <c r="A4" s="1" t="s">
        <v>3</v>
      </c>
      <c r="B4" s="1">
        <f>(B1+B2)</f>
        <v>0</v>
      </c>
      <c r="C4" s="1" t="s">
        <v>10</v>
      </c>
      <c r="D4" s="1">
        <f>ROUND(STDEV(C22:C23), 3)</f>
        <v>0</v>
      </c>
      <c r="F4" s="1" t="s">
        <v>3</v>
      </c>
      <c r="G4" s="1">
        <f>(G1+G2)</f>
        <v>0</v>
      </c>
      <c r="H4" s="1" t="s">
        <v>10</v>
      </c>
      <c r="I4" s="1">
        <f>ROUND(STDEV(H22:H23), 3)</f>
        <v>0</v>
      </c>
    </row>
    <row r="5" spans="1:9">
      <c r="A5" s="1" t="s">
        <v>4</v>
      </c>
      <c r="B5" s="1">
        <f>(B1+B3)</f>
        <v>0</v>
      </c>
      <c r="C5" s="1" t="s">
        <v>11</v>
      </c>
      <c r="D5" s="1">
        <f>ROUND(((B1 + B2) - (B1 + B3))/(6 * (D4)), 3)</f>
        <v>0</v>
      </c>
      <c r="F5" s="1" t="s">
        <v>4</v>
      </c>
      <c r="G5" s="1">
        <f>(G1+G3)</f>
        <v>0</v>
      </c>
      <c r="H5" s="1" t="s">
        <v>11</v>
      </c>
      <c r="I5" s="1">
        <f>ROUND(((G1 + G2) - (G1 + G3))/(6 * (I4)), 3)</f>
        <v>0</v>
      </c>
    </row>
    <row r="6" spans="1:9">
      <c r="A6" s="1" t="s">
        <v>5</v>
      </c>
      <c r="B6" s="1">
        <f>COUNTIF(C22:C23, "&gt;"&amp;($B$1+$B$2))+COUNTIF(C22:C23, "&lt;"&amp;($B$1+$B$3))</f>
        <v>0</v>
      </c>
      <c r="C6" s="1" t="s">
        <v>12</v>
      </c>
      <c r="D6" s="1">
        <f>ROUND(MIN( ((B1 + B2) - (D2))/(3 * (D4)), ((D2) - (B1 + B3))/(3 * (D4)) ), 3)</f>
        <v>0</v>
      </c>
      <c r="F6" s="1" t="s">
        <v>5</v>
      </c>
      <c r="G6" s="1">
        <f>COUNTIF(H22:H23, "&gt;"&amp;($G$1+$G$2))+COUNTIF(H22:H23, "&lt;"&amp;($G$1+$G$3))</f>
        <v>0</v>
      </c>
      <c r="H6" s="1" t="s">
        <v>12</v>
      </c>
      <c r="I6" s="1">
        <f>ROUND(MIN( ((G1 + G2) - (I2))/(3 * (I4)), ((I2) - (G1 + G3))/(3 * (I4)) ), 3)</f>
        <v>0</v>
      </c>
    </row>
    <row r="7" spans="1:9">
      <c r="A7" s="1" t="s">
        <v>6</v>
      </c>
      <c r="B7" s="3">
        <f>ROUND(($B$6/$D$7)*100%, 3)</f>
        <v>0</v>
      </c>
      <c r="C7" s="1" t="s">
        <v>13</v>
      </c>
      <c r="D7" s="1">
        <f>COUNT(C22:C23)</f>
        <v>0</v>
      </c>
      <c r="F7" s="1" t="s">
        <v>6</v>
      </c>
      <c r="G7" s="3">
        <f>ROUND(($G$6/$I$7)*100%, 3)</f>
        <v>0</v>
      </c>
      <c r="H7" s="1" t="s">
        <v>13</v>
      </c>
      <c r="I7" s="1">
        <f>COUNT(H22:H23)</f>
        <v>0</v>
      </c>
    </row>
    <row r="21" spans="1:10">
      <c r="A21" s="1" t="s">
        <v>14</v>
      </c>
      <c r="B21" s="1" t="s">
        <v>17</v>
      </c>
      <c r="C21" s="4" t="s">
        <v>20</v>
      </c>
      <c r="D21" s="1" t="s">
        <v>3</v>
      </c>
      <c r="E21" s="2" t="s">
        <v>4</v>
      </c>
      <c r="F21" s="1" t="s">
        <v>14</v>
      </c>
      <c r="G21" s="1" t="s">
        <v>17</v>
      </c>
      <c r="H21" s="4" t="s">
        <v>23</v>
      </c>
      <c r="I21" s="1" t="s">
        <v>3</v>
      </c>
      <c r="J21" s="2" t="s">
        <v>4</v>
      </c>
    </row>
    <row r="22" spans="1:10">
      <c r="A22" s="1" t="s">
        <v>15</v>
      </c>
      <c r="B22" s="1" t="s">
        <v>18</v>
      </c>
      <c r="C22" s="1">
        <v>10.1</v>
      </c>
      <c r="D22" s="1">
        <v>10.5</v>
      </c>
      <c r="E22" s="2">
        <v>9.5</v>
      </c>
      <c r="F22" s="1" t="s">
        <v>21</v>
      </c>
      <c r="G22" s="1" t="s">
        <v>18</v>
      </c>
      <c r="H22" s="1">
        <v>10.1</v>
      </c>
      <c r="I22" s="1">
        <v>10.5</v>
      </c>
      <c r="J22" s="2">
        <v>9.5</v>
      </c>
    </row>
    <row r="23" spans="1:10">
      <c r="A23" s="1" t="s">
        <v>16</v>
      </c>
      <c r="B23" s="1" t="s">
        <v>19</v>
      </c>
      <c r="C23" s="1">
        <v>10.2</v>
      </c>
      <c r="D23" s="1">
        <v>10.5</v>
      </c>
      <c r="E23" s="2">
        <v>9.5</v>
      </c>
      <c r="F23" s="1" t="s">
        <v>22</v>
      </c>
      <c r="G23" s="1" t="s">
        <v>19</v>
      </c>
      <c r="H23" s="1">
        <v>10.2</v>
      </c>
      <c r="I23" s="1">
        <v>10.5</v>
      </c>
      <c r="J23" s="2">
        <v>9.5</v>
      </c>
    </row>
  </sheetData>
  <conditionalFormatting sqref="B7">
    <cfRule type="cellIs" dxfId="0" priority="3" operator="greaterThan">
      <formula>0</formula>
    </cfRule>
  </conditionalFormatting>
  <conditionalFormatting sqref="C22:C23">
    <cfRule type="cellIs" dxfId="0" priority="1" operator="greaterThan">
      <formula>($B$1+$B$2)</formula>
    </cfRule>
    <cfRule type="cellIs" dxfId="0" priority="2" operator="lessThan">
      <formula>($B$1+$B$3)</formula>
    </cfRule>
  </conditionalFormatting>
  <conditionalFormatting sqref="G7">
    <cfRule type="cellIs" dxfId="0" priority="6" operator="greaterThan">
      <formula>0</formula>
    </cfRule>
  </conditionalFormatting>
  <conditionalFormatting sqref="H22:H23">
    <cfRule type="cellIs" dxfId="0" priority="4" operator="greaterThan">
      <formula>($G$1+$G$2)</formula>
    </cfRule>
    <cfRule type="cellIs" dxfId="0" priority="5" operator="lessThan">
      <formula>($G$1+$G$3)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  <col min="9" max="9" width="22.7109375" customWidth="1"/>
    <col min="10" max="12" width="12.7109375" customWidth="1"/>
    <col min="13" max="13" width="40.7109375" customWidth="1"/>
    <col min="14" max="14" width="12.7109375" customWidth="1"/>
    <col min="15" max="15" width="40.7109375" customWidth="1"/>
    <col min="16" max="16" width="12.7109375" customWidth="1"/>
    <col min="17" max="17" width="18.7109375" customWidth="1"/>
    <col min="18" max="18" width="33.7109375" customWidth="1"/>
    <col min="19" max="21" width="13.7109375" customWidth="1"/>
    <col min="22" max="30" width="12.7109375" customWidth="1"/>
    <col min="31" max="31" width="19.7109375" customWidth="1"/>
    <col min="32" max="38" width="12.7109375" customWidth="1"/>
  </cols>
  <sheetData>
    <row r="1" spans="1:38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0</v>
      </c>
      <c r="AA1" t="s">
        <v>1</v>
      </c>
      <c r="AB1" t="s">
        <v>2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</row>
    <row r="2" spans="1:38">
      <c r="A2">
        <v>1</v>
      </c>
      <c r="B2">
        <v>1</v>
      </c>
      <c r="C2" t="s">
        <v>59</v>
      </c>
      <c r="D2" t="s">
        <v>15</v>
      </c>
      <c r="F2" t="s">
        <v>60</v>
      </c>
      <c r="G2" t="s">
        <v>61</v>
      </c>
      <c r="H2" t="s">
        <v>18</v>
      </c>
      <c r="I2" t="s">
        <v>62</v>
      </c>
      <c r="J2" t="s">
        <v>18</v>
      </c>
      <c r="K2">
        <v>1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70</v>
      </c>
      <c r="U2" t="s">
        <v>70</v>
      </c>
      <c r="V2" t="s">
        <v>71</v>
      </c>
      <c r="W2" t="s">
        <v>71</v>
      </c>
      <c r="X2" t="s">
        <v>72</v>
      </c>
      <c r="Y2" t="s">
        <v>73</v>
      </c>
      <c r="Z2">
        <v>10</v>
      </c>
      <c r="AA2">
        <v>0.5</v>
      </c>
      <c r="AB2">
        <v>-0.5</v>
      </c>
      <c r="AC2">
        <v>0</v>
      </c>
      <c r="AD2">
        <v>10.1</v>
      </c>
      <c r="AE2">
        <v>0.09999999999999964</v>
      </c>
      <c r="AF2">
        <v>0</v>
      </c>
      <c r="AG2">
        <v>0</v>
      </c>
      <c r="AH2" t="s">
        <v>74</v>
      </c>
      <c r="AI2">
        <v>1</v>
      </c>
      <c r="AJ2">
        <v>1</v>
      </c>
      <c r="AK2">
        <v>0</v>
      </c>
      <c r="AL2">
        <v>0</v>
      </c>
    </row>
    <row r="3" spans="1:38">
      <c r="A3">
        <v>2</v>
      </c>
      <c r="B3">
        <v>2</v>
      </c>
      <c r="C3" t="s">
        <v>59</v>
      </c>
      <c r="D3" t="s">
        <v>16</v>
      </c>
      <c r="F3" t="s">
        <v>60</v>
      </c>
      <c r="G3" t="s">
        <v>61</v>
      </c>
      <c r="H3" t="s">
        <v>19</v>
      </c>
      <c r="I3" t="s">
        <v>62</v>
      </c>
      <c r="J3" t="s">
        <v>19</v>
      </c>
      <c r="K3">
        <v>2</v>
      </c>
      <c r="L3" t="s">
        <v>63</v>
      </c>
      <c r="M3" t="s">
        <v>64</v>
      </c>
      <c r="N3" t="s">
        <v>75</v>
      </c>
      <c r="O3" t="s">
        <v>76</v>
      </c>
      <c r="P3" t="s">
        <v>67</v>
      </c>
      <c r="Q3" t="s">
        <v>68</v>
      </c>
      <c r="R3" t="s">
        <v>69</v>
      </c>
      <c r="S3" t="s">
        <v>70</v>
      </c>
      <c r="T3" t="s">
        <v>70</v>
      </c>
      <c r="U3" t="s">
        <v>70</v>
      </c>
      <c r="V3" t="s">
        <v>71</v>
      </c>
      <c r="W3" t="s">
        <v>71</v>
      </c>
      <c r="X3" t="s">
        <v>72</v>
      </c>
      <c r="Y3" t="s">
        <v>73</v>
      </c>
      <c r="Z3">
        <v>10</v>
      </c>
      <c r="AA3">
        <v>0.5</v>
      </c>
      <c r="AB3">
        <v>-0.5</v>
      </c>
      <c r="AC3">
        <v>0</v>
      </c>
      <c r="AD3">
        <v>10.2</v>
      </c>
      <c r="AE3">
        <v>0.1999999999999993</v>
      </c>
      <c r="AF3">
        <v>0</v>
      </c>
      <c r="AG3">
        <v>0</v>
      </c>
      <c r="AH3" t="s">
        <v>74</v>
      </c>
      <c r="AI3">
        <v>1</v>
      </c>
      <c r="AJ3">
        <v>1</v>
      </c>
      <c r="AK3">
        <v>0</v>
      </c>
      <c r="AL3">
        <v>0</v>
      </c>
    </row>
    <row r="4" spans="1:38">
      <c r="A4">
        <v>3</v>
      </c>
      <c r="B4">
        <v>3</v>
      </c>
      <c r="C4" t="s">
        <v>59</v>
      </c>
      <c r="D4" t="s">
        <v>21</v>
      </c>
      <c r="F4" t="s">
        <v>60</v>
      </c>
      <c r="G4" t="s">
        <v>61</v>
      </c>
      <c r="H4" t="s">
        <v>18</v>
      </c>
      <c r="I4" t="s">
        <v>62</v>
      </c>
      <c r="J4" t="s">
        <v>18</v>
      </c>
      <c r="K4">
        <v>1</v>
      </c>
      <c r="L4" t="s">
        <v>63</v>
      </c>
      <c r="M4" t="s">
        <v>64</v>
      </c>
      <c r="N4" t="s">
        <v>77</v>
      </c>
      <c r="O4" t="s">
        <v>78</v>
      </c>
      <c r="P4" t="s">
        <v>67</v>
      </c>
      <c r="Q4" t="s">
        <v>68</v>
      </c>
      <c r="R4" t="s">
        <v>69</v>
      </c>
      <c r="S4" t="s">
        <v>79</v>
      </c>
      <c r="T4" t="s">
        <v>79</v>
      </c>
      <c r="U4" t="s">
        <v>79</v>
      </c>
      <c r="V4" t="s">
        <v>71</v>
      </c>
      <c r="W4" t="s">
        <v>71</v>
      </c>
      <c r="X4" t="s">
        <v>72</v>
      </c>
      <c r="Y4" t="s">
        <v>73</v>
      </c>
      <c r="Z4">
        <v>10</v>
      </c>
      <c r="AA4">
        <v>0.5</v>
      </c>
      <c r="AB4">
        <v>-0.5</v>
      </c>
      <c r="AC4">
        <v>0</v>
      </c>
      <c r="AD4">
        <v>10.1</v>
      </c>
      <c r="AE4">
        <v>0.09999999999999964</v>
      </c>
      <c r="AF4">
        <v>0</v>
      </c>
      <c r="AG4">
        <v>0</v>
      </c>
      <c r="AH4" t="s">
        <v>74</v>
      </c>
      <c r="AI4">
        <v>1</v>
      </c>
      <c r="AJ4">
        <v>1</v>
      </c>
      <c r="AK4">
        <v>0</v>
      </c>
      <c r="AL4">
        <v>0</v>
      </c>
    </row>
    <row r="5" spans="1:38">
      <c r="A5">
        <v>4</v>
      </c>
      <c r="B5">
        <v>4</v>
      </c>
      <c r="C5" t="s">
        <v>59</v>
      </c>
      <c r="D5" t="s">
        <v>22</v>
      </c>
      <c r="F5" t="s">
        <v>60</v>
      </c>
      <c r="G5" t="s">
        <v>61</v>
      </c>
      <c r="H5" t="s">
        <v>19</v>
      </c>
      <c r="I5" t="s">
        <v>62</v>
      </c>
      <c r="J5" t="s">
        <v>19</v>
      </c>
      <c r="K5">
        <v>2</v>
      </c>
      <c r="L5" t="s">
        <v>63</v>
      </c>
      <c r="M5" t="s">
        <v>64</v>
      </c>
      <c r="N5" t="s">
        <v>80</v>
      </c>
      <c r="O5" t="s">
        <v>81</v>
      </c>
      <c r="P5" t="s">
        <v>67</v>
      </c>
      <c r="Q5" t="s">
        <v>68</v>
      </c>
      <c r="R5" t="s">
        <v>69</v>
      </c>
      <c r="S5" t="s">
        <v>79</v>
      </c>
      <c r="T5" t="s">
        <v>79</v>
      </c>
      <c r="U5" t="s">
        <v>79</v>
      </c>
      <c r="V5" t="s">
        <v>71</v>
      </c>
      <c r="W5" t="s">
        <v>71</v>
      </c>
      <c r="X5" t="s">
        <v>72</v>
      </c>
      <c r="Y5" t="s">
        <v>73</v>
      </c>
      <c r="Z5">
        <v>10</v>
      </c>
      <c r="AA5">
        <v>0.5</v>
      </c>
      <c r="AB5">
        <v>-0.5</v>
      </c>
      <c r="AC5">
        <v>0</v>
      </c>
      <c r="AD5">
        <v>10.2</v>
      </c>
      <c r="AE5">
        <v>0.1999999999999993</v>
      </c>
      <c r="AF5">
        <v>0</v>
      </c>
      <c r="AG5">
        <v>0</v>
      </c>
      <c r="AH5" t="s">
        <v>74</v>
      </c>
      <c r="AI5">
        <v>1</v>
      </c>
      <c r="AJ5">
        <v>1</v>
      </c>
      <c r="AK5">
        <v>0</v>
      </c>
      <c r="AL5">
        <v>0</v>
      </c>
    </row>
  </sheetData>
  <autoFilter ref="A1:AL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REF-1</vt:lpstr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2026-09-13T13:19:53Z</dcterms:created>
  <dcterms:modified xsi:type="dcterms:W3CDTF">2026-09-13T13:19:53Z</dcterms:modified>
</cp:coreProperties>
</file>